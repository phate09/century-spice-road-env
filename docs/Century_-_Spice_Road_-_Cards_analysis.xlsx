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Board Games\Century - Spice Road\"/>
    </mc:Choice>
  </mc:AlternateContent>
  <bookViews>
    <workbookView xWindow="0" yWindow="0" windowWidth="24270" windowHeight="12570"/>
  </bookViews>
  <sheets>
    <sheet name="Merchant cards" sheetId="1" r:id="rId1"/>
    <sheet name="Point card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  <c r="C28" i="2"/>
  <c r="D28" i="2" s="1"/>
  <c r="C23" i="2"/>
  <c r="C19" i="2"/>
  <c r="C11" i="2"/>
  <c r="C32" i="2"/>
  <c r="C6" i="2"/>
  <c r="C33" i="2"/>
  <c r="C2" i="2"/>
  <c r="C17" i="2"/>
  <c r="C10" i="2"/>
  <c r="C30" i="2"/>
  <c r="C14" i="2"/>
  <c r="C18" i="2"/>
  <c r="C16" i="2"/>
  <c r="C4" i="2"/>
  <c r="C26" i="2"/>
  <c r="C34" i="2"/>
  <c r="C27" i="2"/>
  <c r="C5" i="2"/>
  <c r="D5" i="2" s="1"/>
  <c r="C24" i="2"/>
  <c r="C22" i="2"/>
  <c r="D22" i="2" s="1"/>
  <c r="C29" i="2"/>
  <c r="C20" i="2"/>
  <c r="C37" i="2"/>
  <c r="C8" i="2"/>
  <c r="C7" i="2"/>
  <c r="C3" i="2"/>
  <c r="D12" i="2"/>
  <c r="D25" i="2"/>
  <c r="D15" i="2"/>
  <c r="D35" i="2"/>
  <c r="D21" i="2"/>
  <c r="D3" i="2"/>
  <c r="D7" i="2"/>
  <c r="D8" i="2"/>
  <c r="D37" i="2"/>
  <c r="D20" i="2"/>
  <c r="D29" i="2"/>
  <c r="D24" i="2"/>
  <c r="D27" i="2"/>
  <c r="D34" i="2"/>
  <c r="D26" i="2"/>
  <c r="D4" i="2"/>
  <c r="D16" i="2"/>
  <c r="D18" i="2"/>
  <c r="D14" i="2"/>
  <c r="D30" i="2"/>
  <c r="D10" i="2"/>
  <c r="D17" i="2"/>
  <c r="D2" i="2"/>
  <c r="D33" i="2"/>
  <c r="D6" i="2"/>
  <c r="D32" i="2"/>
  <c r="D11" i="2"/>
  <c r="D19" i="2"/>
  <c r="D23" i="2"/>
  <c r="D9" i="2"/>
  <c r="D31" i="2"/>
  <c r="D36" i="2"/>
  <c r="D13" i="2"/>
  <c r="C21" i="2"/>
  <c r="C35" i="2"/>
  <c r="C15" i="2"/>
  <c r="C25" i="2"/>
  <c r="C12" i="2"/>
  <c r="C36" i="2"/>
  <c r="E9" i="1"/>
  <c r="E2" i="1"/>
  <c r="E17" i="1"/>
  <c r="E18" i="1"/>
  <c r="E19" i="1"/>
  <c r="E6" i="1"/>
  <c r="E20" i="1"/>
  <c r="E7" i="1"/>
  <c r="E21" i="1"/>
  <c r="E8" i="1"/>
  <c r="E36" i="1"/>
  <c r="E11" i="1"/>
  <c r="E4" i="1"/>
  <c r="E35" i="1"/>
  <c r="E28" i="1"/>
  <c r="E29" i="1"/>
  <c r="E44" i="1"/>
  <c r="E16" i="1"/>
  <c r="E46" i="1"/>
  <c r="E3" i="1"/>
  <c r="D46" i="1"/>
  <c r="D32" i="1"/>
  <c r="E32" i="1" s="1"/>
  <c r="D24" i="1"/>
  <c r="E24" i="1" s="1"/>
  <c r="D31" i="1"/>
  <c r="E31" i="1" s="1"/>
  <c r="D16" i="1"/>
  <c r="D45" i="1"/>
  <c r="E45" i="1" s="1"/>
  <c r="D42" i="1"/>
  <c r="E42" i="1" s="1"/>
  <c r="D41" i="1"/>
  <c r="E41" i="1" s="1"/>
  <c r="D44" i="1"/>
  <c r="D30" i="1"/>
  <c r="E30" i="1" s="1"/>
  <c r="D38" i="1"/>
  <c r="E38" i="1" s="1"/>
  <c r="D40" i="1"/>
  <c r="E40" i="1" s="1"/>
  <c r="D29" i="1"/>
  <c r="D5" i="1"/>
  <c r="E5" i="1" s="1"/>
  <c r="D39" i="1"/>
  <c r="E39" i="1" s="1"/>
  <c r="D23" i="1"/>
  <c r="E23" i="1" s="1"/>
  <c r="D28" i="1"/>
  <c r="D15" i="1"/>
  <c r="E15" i="1" s="1"/>
  <c r="D43" i="1"/>
  <c r="E43" i="1" s="1"/>
  <c r="D27" i="1"/>
  <c r="E27" i="1" s="1"/>
  <c r="D35" i="1"/>
  <c r="D14" i="1"/>
  <c r="E14" i="1" s="1"/>
  <c r="D26" i="1"/>
  <c r="E26" i="1" s="1"/>
  <c r="D22" i="1"/>
  <c r="E22" i="1" s="1"/>
  <c r="D4" i="1"/>
  <c r="D25" i="1"/>
  <c r="E25" i="1" s="1"/>
  <c r="D13" i="1"/>
  <c r="E13" i="1" s="1"/>
  <c r="D12" i="1"/>
  <c r="E12" i="1" s="1"/>
  <c r="D11" i="1"/>
  <c r="D10" i="1"/>
  <c r="E10" i="1" s="1"/>
  <c r="D37" i="1"/>
  <c r="E37" i="1" s="1"/>
  <c r="D34" i="1"/>
  <c r="E34" i="1" s="1"/>
  <c r="D36" i="1"/>
  <c r="D33" i="1"/>
  <c r="E33" i="1" s="1"/>
</calcChain>
</file>

<file path=xl/sharedStrings.xml><?xml version="1.0" encoding="utf-8"?>
<sst xmlns="http://schemas.openxmlformats.org/spreadsheetml/2006/main" count="168" uniqueCount="81">
  <si>
    <t>Card type</t>
  </si>
  <si>
    <t>Obtain spices</t>
  </si>
  <si>
    <t>Upgrade spices</t>
  </si>
  <si>
    <t>From</t>
  </si>
  <si>
    <t>To</t>
  </si>
  <si>
    <t>Delta</t>
  </si>
  <si>
    <t>RYY</t>
  </si>
  <si>
    <t>YYYY</t>
  </si>
  <si>
    <t>B</t>
  </si>
  <si>
    <t>YR</t>
  </si>
  <si>
    <t>RR</t>
  </si>
  <si>
    <t>G</t>
  </si>
  <si>
    <t>YG</t>
  </si>
  <si>
    <t>YYY</t>
  </si>
  <si>
    <t>Trade spices</t>
  </si>
  <si>
    <t>RYYYY</t>
  </si>
  <si>
    <t>BB</t>
  </si>
  <si>
    <t>GGRRR</t>
  </si>
  <si>
    <t>YYYYY</t>
  </si>
  <si>
    <t>GGGRY</t>
  </si>
  <si>
    <t>GG</t>
  </si>
  <si>
    <t>RRRYY</t>
  </si>
  <si>
    <t>BRYY</t>
  </si>
  <si>
    <t>GYYY</t>
  </si>
  <si>
    <t>BYY</t>
  </si>
  <si>
    <t>YY</t>
  </si>
  <si>
    <t>RG</t>
  </si>
  <si>
    <t>RRR</t>
  </si>
  <si>
    <t>GGYY</t>
  </si>
  <si>
    <t>GB</t>
  </si>
  <si>
    <t>BRR</t>
  </si>
  <si>
    <t>RRYY</t>
  </si>
  <si>
    <t>BGY</t>
  </si>
  <si>
    <t>RY</t>
  </si>
  <si>
    <t>GYY</t>
  </si>
  <si>
    <t>R</t>
  </si>
  <si>
    <t>GGG</t>
  </si>
  <si>
    <t>BBB</t>
  </si>
  <si>
    <t>GRY</t>
  </si>
  <si>
    <t>RRY</t>
  </si>
  <si>
    <t>Spices</t>
  </si>
  <si>
    <t>Victory points</t>
  </si>
  <si>
    <t>GGGG</t>
  </si>
  <si>
    <t>BBBBB</t>
  </si>
  <si>
    <t>RRRGG</t>
  </si>
  <si>
    <t>YRRRGB</t>
  </si>
  <si>
    <t>YYYRR</t>
  </si>
  <si>
    <t>RRGG</t>
  </si>
  <si>
    <t>Spice cost</t>
  </si>
  <si>
    <t>YRGBBB</t>
  </si>
  <si>
    <t>GGGGG</t>
  </si>
  <si>
    <t>YYRRGG</t>
  </si>
  <si>
    <t>RRBBB</t>
  </si>
  <si>
    <t>GGBBB</t>
  </si>
  <si>
    <t>YYGG</t>
  </si>
  <si>
    <t>RRGB</t>
  </si>
  <si>
    <t>YYYRGB</t>
  </si>
  <si>
    <t>YYRB</t>
  </si>
  <si>
    <t>RRRR</t>
  </si>
  <si>
    <t>RRGGG</t>
  </si>
  <si>
    <t>RRRBB</t>
  </si>
  <si>
    <t>RRBB</t>
  </si>
  <si>
    <t>YYRRBB</t>
  </si>
  <si>
    <t>YYBB</t>
  </si>
  <si>
    <t>GGBB</t>
  </si>
  <si>
    <t>YYRR</t>
  </si>
  <si>
    <t>YRGB</t>
  </si>
  <si>
    <t>YYRRR</t>
  </si>
  <si>
    <t>RRGGBB</t>
  </si>
  <si>
    <t>YYGGG</t>
  </si>
  <si>
    <t>YYBBB</t>
  </si>
  <si>
    <t>GGGBB</t>
  </si>
  <si>
    <t>RRRRR</t>
  </si>
  <si>
    <t>YGGB</t>
  </si>
  <si>
    <t>YYGGBB</t>
  </si>
  <si>
    <t>YRGGGB</t>
  </si>
  <si>
    <t>Max repeat</t>
  </si>
  <si>
    <t>Delta max</t>
  </si>
  <si>
    <t>YYYBB</t>
  </si>
  <si>
    <t>BBBB</t>
  </si>
  <si>
    <t>YYYGG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</si>
</sst>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/>
  </sheetViews>
  <sheetFormatPr defaultRowHeight="15" x14ac:dyDescent="0.25"/>
  <cols>
    <col min="1" max="1" width="14.42578125" bestFit="1" customWidth="1"/>
    <col min="2" max="2" width="9.7109375" customWidth="1"/>
    <col min="4" max="5" width="9.140625" style="3"/>
    <col min="6" max="6" width="11.140625" style="3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2" t="s">
        <v>5</v>
      </c>
      <c r="E1" s="2" t="s">
        <v>77</v>
      </c>
      <c r="F1" s="2" t="s">
        <v>76</v>
      </c>
    </row>
    <row r="2" spans="1:6" x14ac:dyDescent="0.25">
      <c r="A2" t="s">
        <v>1</v>
      </c>
      <c r="C2" t="s">
        <v>25</v>
      </c>
      <c r="D2" s="3">
        <v>2</v>
      </c>
      <c r="E2" s="3">
        <f t="shared" ref="E2:E46" si="0">F2*D2</f>
        <v>2</v>
      </c>
      <c r="F2" s="3">
        <v>1</v>
      </c>
    </row>
    <row r="3" spans="1:6" x14ac:dyDescent="0.25">
      <c r="A3" t="s">
        <v>2</v>
      </c>
      <c r="D3" s="3">
        <v>2</v>
      </c>
      <c r="E3" s="3">
        <f t="shared" si="0"/>
        <v>2</v>
      </c>
      <c r="F3" s="3">
        <v>1</v>
      </c>
    </row>
    <row r="4" spans="1:6" x14ac:dyDescent="0.25">
      <c r="A4" t="s">
        <v>14</v>
      </c>
      <c r="B4" t="s">
        <v>13</v>
      </c>
      <c r="C4" t="s">
        <v>8</v>
      </c>
      <c r="D4" s="3">
        <f>-3+4</f>
        <v>1</v>
      </c>
      <c r="E4" s="3">
        <f t="shared" si="0"/>
        <v>3</v>
      </c>
      <c r="F4" s="3">
        <v>3</v>
      </c>
    </row>
    <row r="5" spans="1:6" x14ac:dyDescent="0.25">
      <c r="A5" t="s">
        <v>14</v>
      </c>
      <c r="B5" t="s">
        <v>35</v>
      </c>
      <c r="C5" t="s">
        <v>13</v>
      </c>
      <c r="D5" s="3">
        <f>-2+3</f>
        <v>1</v>
      </c>
      <c r="E5" s="3">
        <f t="shared" si="0"/>
        <v>3</v>
      </c>
      <c r="F5" s="3">
        <v>3</v>
      </c>
    </row>
    <row r="6" spans="1:6" x14ac:dyDescent="0.25">
      <c r="A6" t="s">
        <v>1</v>
      </c>
      <c r="C6" t="s">
        <v>9</v>
      </c>
      <c r="D6" s="3">
        <v>3</v>
      </c>
      <c r="E6" s="3">
        <f t="shared" si="0"/>
        <v>3</v>
      </c>
      <c r="F6" s="3">
        <v>1</v>
      </c>
    </row>
    <row r="7" spans="1:6" x14ac:dyDescent="0.25">
      <c r="A7" t="s">
        <v>1</v>
      </c>
      <c r="C7" t="s">
        <v>11</v>
      </c>
      <c r="D7" s="3">
        <v>3</v>
      </c>
      <c r="E7" s="3">
        <f t="shared" si="0"/>
        <v>3</v>
      </c>
      <c r="F7" s="3">
        <v>1</v>
      </c>
    </row>
    <row r="8" spans="1:6" x14ac:dyDescent="0.25">
      <c r="A8" t="s">
        <v>1</v>
      </c>
      <c r="C8" t="s">
        <v>13</v>
      </c>
      <c r="D8" s="3">
        <v>3</v>
      </c>
      <c r="E8" s="3">
        <f t="shared" si="0"/>
        <v>3</v>
      </c>
      <c r="F8" s="3">
        <v>1</v>
      </c>
    </row>
    <row r="9" spans="1:6" x14ac:dyDescent="0.25">
      <c r="A9" t="s">
        <v>2</v>
      </c>
      <c r="D9" s="3">
        <v>3</v>
      </c>
      <c r="E9" s="3">
        <f t="shared" si="0"/>
        <v>3</v>
      </c>
      <c r="F9" s="3">
        <v>1</v>
      </c>
    </row>
    <row r="10" spans="1:6" x14ac:dyDescent="0.25">
      <c r="A10" t="s">
        <v>14</v>
      </c>
      <c r="B10" t="s">
        <v>20</v>
      </c>
      <c r="C10" t="s">
        <v>21</v>
      </c>
      <c r="D10" s="3">
        <f>-6+6+2</f>
        <v>2</v>
      </c>
      <c r="E10" s="3">
        <f t="shared" si="0"/>
        <v>4</v>
      </c>
      <c r="F10" s="3">
        <v>2</v>
      </c>
    </row>
    <row r="11" spans="1:6" x14ac:dyDescent="0.25">
      <c r="A11" t="s">
        <v>14</v>
      </c>
      <c r="B11" t="s">
        <v>20</v>
      </c>
      <c r="C11" t="s">
        <v>22</v>
      </c>
      <c r="D11" s="3">
        <f>-6+4+2+2</f>
        <v>2</v>
      </c>
      <c r="E11" s="3">
        <f t="shared" si="0"/>
        <v>4</v>
      </c>
      <c r="F11" s="3">
        <v>2</v>
      </c>
    </row>
    <row r="12" spans="1:6" x14ac:dyDescent="0.25">
      <c r="A12" t="s">
        <v>14</v>
      </c>
      <c r="B12" t="s">
        <v>8</v>
      </c>
      <c r="C12" t="s">
        <v>23</v>
      </c>
      <c r="D12" s="3">
        <f>-4+3+3</f>
        <v>2</v>
      </c>
      <c r="E12" s="3">
        <f t="shared" si="0"/>
        <v>4</v>
      </c>
      <c r="F12" s="3">
        <v>2</v>
      </c>
    </row>
    <row r="13" spans="1:6" x14ac:dyDescent="0.25">
      <c r="A13" t="s">
        <v>14</v>
      </c>
      <c r="B13" t="s">
        <v>10</v>
      </c>
      <c r="C13" t="s">
        <v>23</v>
      </c>
      <c r="D13" s="3">
        <f>-4+3+3</f>
        <v>2</v>
      </c>
      <c r="E13" s="3">
        <f t="shared" si="0"/>
        <v>4</v>
      </c>
      <c r="F13" s="3">
        <v>2</v>
      </c>
    </row>
    <row r="14" spans="1:6" x14ac:dyDescent="0.25">
      <c r="A14" t="s">
        <v>14</v>
      </c>
      <c r="B14" t="s">
        <v>27</v>
      </c>
      <c r="C14" t="s">
        <v>28</v>
      </c>
      <c r="D14" s="3">
        <f>-6+6+2</f>
        <v>2</v>
      </c>
      <c r="E14" s="3">
        <f t="shared" si="0"/>
        <v>4</v>
      </c>
      <c r="F14" s="3">
        <v>2</v>
      </c>
    </row>
    <row r="15" spans="1:6" x14ac:dyDescent="0.25">
      <c r="A15" t="s">
        <v>14</v>
      </c>
      <c r="B15" t="s">
        <v>8</v>
      </c>
      <c r="C15" t="s">
        <v>31</v>
      </c>
      <c r="D15" s="3">
        <f>-4+4+2</f>
        <v>2</v>
      </c>
      <c r="E15" s="3">
        <f t="shared" si="0"/>
        <v>4</v>
      </c>
      <c r="F15" s="3">
        <v>2</v>
      </c>
    </row>
    <row r="16" spans="1:6" x14ac:dyDescent="0.25">
      <c r="A16" t="s">
        <v>14</v>
      </c>
      <c r="B16" t="s">
        <v>7</v>
      </c>
      <c r="C16" t="s">
        <v>20</v>
      </c>
      <c r="D16" s="3">
        <f>-4+6</f>
        <v>2</v>
      </c>
      <c r="E16" s="3">
        <f t="shared" si="0"/>
        <v>4</v>
      </c>
      <c r="F16" s="3">
        <v>2</v>
      </c>
    </row>
    <row r="17" spans="1:6" x14ac:dyDescent="0.25">
      <c r="A17" t="s">
        <v>1</v>
      </c>
      <c r="C17" t="s">
        <v>6</v>
      </c>
      <c r="D17" s="3">
        <v>4</v>
      </c>
      <c r="E17" s="3">
        <f t="shared" si="0"/>
        <v>4</v>
      </c>
      <c r="F17" s="3">
        <v>1</v>
      </c>
    </row>
    <row r="18" spans="1:6" x14ac:dyDescent="0.25">
      <c r="A18" t="s">
        <v>1</v>
      </c>
      <c r="C18" t="s">
        <v>7</v>
      </c>
      <c r="D18" s="3">
        <v>4</v>
      </c>
      <c r="E18" s="3">
        <f t="shared" si="0"/>
        <v>4</v>
      </c>
      <c r="F18" s="3">
        <v>1</v>
      </c>
    </row>
    <row r="19" spans="1:6" x14ac:dyDescent="0.25">
      <c r="A19" t="s">
        <v>1</v>
      </c>
      <c r="C19" t="s">
        <v>8</v>
      </c>
      <c r="D19" s="3">
        <v>4</v>
      </c>
      <c r="E19" s="3">
        <f t="shared" si="0"/>
        <v>4</v>
      </c>
      <c r="F19" s="3">
        <v>1</v>
      </c>
    </row>
    <row r="20" spans="1:6" x14ac:dyDescent="0.25">
      <c r="A20" t="s">
        <v>1</v>
      </c>
      <c r="C20" t="s">
        <v>10</v>
      </c>
      <c r="D20" s="3">
        <v>4</v>
      </c>
      <c r="E20" s="3">
        <f t="shared" si="0"/>
        <v>4</v>
      </c>
      <c r="F20" s="3">
        <v>1</v>
      </c>
    </row>
    <row r="21" spans="1:6" x14ac:dyDescent="0.25">
      <c r="A21" t="s">
        <v>1</v>
      </c>
      <c r="C21" t="s">
        <v>12</v>
      </c>
      <c r="D21" s="3">
        <v>4</v>
      </c>
      <c r="E21" s="3">
        <f t="shared" si="0"/>
        <v>4</v>
      </c>
      <c r="F21" s="3">
        <v>1</v>
      </c>
    </row>
    <row r="22" spans="1:6" x14ac:dyDescent="0.25">
      <c r="A22" t="s">
        <v>14</v>
      </c>
      <c r="B22" t="s">
        <v>25</v>
      </c>
      <c r="C22" t="s">
        <v>11</v>
      </c>
      <c r="D22" s="3">
        <f>-2+3</f>
        <v>1</v>
      </c>
      <c r="E22" s="3">
        <f t="shared" si="0"/>
        <v>5</v>
      </c>
      <c r="F22" s="3">
        <v>5</v>
      </c>
    </row>
    <row r="23" spans="1:6" x14ac:dyDescent="0.25">
      <c r="A23" t="s">
        <v>14</v>
      </c>
      <c r="B23" t="s">
        <v>33</v>
      </c>
      <c r="C23" t="s">
        <v>8</v>
      </c>
      <c r="D23" s="3">
        <f>-2-1+4</f>
        <v>1</v>
      </c>
      <c r="E23" s="3">
        <f t="shared" si="0"/>
        <v>5</v>
      </c>
      <c r="F23" s="3">
        <v>5</v>
      </c>
    </row>
    <row r="24" spans="1:6" x14ac:dyDescent="0.25">
      <c r="A24" t="s">
        <v>14</v>
      </c>
      <c r="B24" t="s">
        <v>11</v>
      </c>
      <c r="C24" t="s">
        <v>10</v>
      </c>
      <c r="D24" s="3">
        <f>-3+4</f>
        <v>1</v>
      </c>
      <c r="E24" s="3">
        <f t="shared" si="0"/>
        <v>5</v>
      </c>
      <c r="F24" s="3">
        <v>5</v>
      </c>
    </row>
    <row r="25" spans="1:6" x14ac:dyDescent="0.25">
      <c r="A25" t="s">
        <v>14</v>
      </c>
      <c r="B25" t="s">
        <v>10</v>
      </c>
      <c r="C25" t="s">
        <v>24</v>
      </c>
      <c r="D25" s="3">
        <f>-4+4+2</f>
        <v>2</v>
      </c>
      <c r="E25" s="3">
        <f t="shared" si="0"/>
        <v>6</v>
      </c>
      <c r="F25" s="3">
        <v>3</v>
      </c>
    </row>
    <row r="26" spans="1:6" x14ac:dyDescent="0.25">
      <c r="A26" t="s">
        <v>14</v>
      </c>
      <c r="B26" t="s">
        <v>13</v>
      </c>
      <c r="C26" t="s">
        <v>26</v>
      </c>
      <c r="D26" s="3">
        <f>-3+2+3</f>
        <v>2</v>
      </c>
      <c r="E26" s="3">
        <f t="shared" si="0"/>
        <v>6</v>
      </c>
      <c r="F26" s="3">
        <v>3</v>
      </c>
    </row>
    <row r="27" spans="1:6" x14ac:dyDescent="0.25">
      <c r="A27" t="s">
        <v>14</v>
      </c>
      <c r="B27" t="s">
        <v>20</v>
      </c>
      <c r="C27" t="s">
        <v>30</v>
      </c>
      <c r="D27" s="3">
        <f>-6+4+4</f>
        <v>2</v>
      </c>
      <c r="E27" s="3">
        <f t="shared" si="0"/>
        <v>6</v>
      </c>
      <c r="F27" s="3">
        <v>3</v>
      </c>
    </row>
    <row r="28" spans="1:6" x14ac:dyDescent="0.25">
      <c r="A28" t="s">
        <v>14</v>
      </c>
      <c r="B28" t="s">
        <v>27</v>
      </c>
      <c r="C28" t="s">
        <v>32</v>
      </c>
      <c r="D28" s="3">
        <f>-6+4+3+1</f>
        <v>2</v>
      </c>
      <c r="E28" s="3">
        <f t="shared" si="0"/>
        <v>6</v>
      </c>
      <c r="F28" s="3">
        <v>3</v>
      </c>
    </row>
    <row r="29" spans="1:6" x14ac:dyDescent="0.25">
      <c r="A29" t="s">
        <v>14</v>
      </c>
      <c r="B29" t="s">
        <v>8</v>
      </c>
      <c r="C29" t="s">
        <v>27</v>
      </c>
      <c r="D29" s="3">
        <f>-4+2+2+2</f>
        <v>2</v>
      </c>
      <c r="E29" s="3">
        <f t="shared" si="0"/>
        <v>6</v>
      </c>
      <c r="F29" s="3">
        <v>3</v>
      </c>
    </row>
    <row r="30" spans="1:6" x14ac:dyDescent="0.25">
      <c r="A30" t="s">
        <v>14</v>
      </c>
      <c r="B30" t="s">
        <v>27</v>
      </c>
      <c r="C30" t="s">
        <v>16</v>
      </c>
      <c r="D30" s="3">
        <f>-6+8</f>
        <v>2</v>
      </c>
      <c r="E30" s="3">
        <f t="shared" si="0"/>
        <v>6</v>
      </c>
      <c r="F30" s="3">
        <v>3</v>
      </c>
    </row>
    <row r="31" spans="1:6" x14ac:dyDescent="0.25">
      <c r="A31" t="s">
        <v>14</v>
      </c>
      <c r="B31" t="s">
        <v>8</v>
      </c>
      <c r="C31" t="s">
        <v>38</v>
      </c>
      <c r="D31" s="3">
        <f>-4+3+2+1</f>
        <v>2</v>
      </c>
      <c r="E31" s="3">
        <f t="shared" si="0"/>
        <v>6</v>
      </c>
      <c r="F31" s="3">
        <v>3</v>
      </c>
    </row>
    <row r="32" spans="1:6" x14ac:dyDescent="0.25">
      <c r="A32" t="s">
        <v>14</v>
      </c>
      <c r="B32" t="s">
        <v>11</v>
      </c>
      <c r="C32" t="s">
        <v>39</v>
      </c>
      <c r="D32" s="3">
        <f>-3+4+1</f>
        <v>2</v>
      </c>
      <c r="E32" s="3">
        <f t="shared" si="0"/>
        <v>6</v>
      </c>
      <c r="F32" s="3">
        <v>3</v>
      </c>
    </row>
    <row r="33" spans="1:6" x14ac:dyDescent="0.25">
      <c r="A33" t="s">
        <v>14</v>
      </c>
      <c r="B33" t="s">
        <v>11</v>
      </c>
      <c r="C33" t="s">
        <v>15</v>
      </c>
      <c r="D33" s="3">
        <f>-3+2+4</f>
        <v>3</v>
      </c>
      <c r="E33" s="3">
        <f t="shared" si="0"/>
        <v>6</v>
      </c>
      <c r="F33" s="3">
        <v>2</v>
      </c>
    </row>
    <row r="34" spans="1:6" x14ac:dyDescent="0.25">
      <c r="A34" t="s">
        <v>14</v>
      </c>
      <c r="B34" t="s">
        <v>18</v>
      </c>
      <c r="C34" t="s">
        <v>16</v>
      </c>
      <c r="D34" s="3">
        <f>-5+8</f>
        <v>3</v>
      </c>
      <c r="E34" s="3">
        <f t="shared" si="0"/>
        <v>6</v>
      </c>
      <c r="F34" s="3">
        <v>2</v>
      </c>
    </row>
    <row r="35" spans="1:6" x14ac:dyDescent="0.25">
      <c r="A35" t="s">
        <v>14</v>
      </c>
      <c r="B35" t="s">
        <v>7</v>
      </c>
      <c r="C35" t="s">
        <v>29</v>
      </c>
      <c r="D35" s="3">
        <f>-4+3+4</f>
        <v>3</v>
      </c>
      <c r="E35" s="3">
        <f t="shared" si="0"/>
        <v>6</v>
      </c>
      <c r="F35" s="3">
        <v>2</v>
      </c>
    </row>
    <row r="36" spans="1:6" x14ac:dyDescent="0.25">
      <c r="A36" t="s">
        <v>14</v>
      </c>
      <c r="B36" t="s">
        <v>16</v>
      </c>
      <c r="C36" t="s">
        <v>17</v>
      </c>
      <c r="D36" s="3">
        <f>-4-4+3+3+6</f>
        <v>4</v>
      </c>
      <c r="E36" s="3">
        <f t="shared" si="0"/>
        <v>8</v>
      </c>
      <c r="F36" s="3">
        <v>2</v>
      </c>
    </row>
    <row r="37" spans="1:6" x14ac:dyDescent="0.25">
      <c r="A37" t="s">
        <v>14</v>
      </c>
      <c r="B37" t="s">
        <v>16</v>
      </c>
      <c r="C37" t="s">
        <v>19</v>
      </c>
      <c r="D37" s="3">
        <f>-8+9+2+1</f>
        <v>4</v>
      </c>
      <c r="E37" s="3">
        <f t="shared" si="0"/>
        <v>8</v>
      </c>
      <c r="F37" s="3">
        <v>2</v>
      </c>
    </row>
    <row r="38" spans="1:6" x14ac:dyDescent="0.25">
      <c r="A38" t="s">
        <v>14</v>
      </c>
      <c r="B38" t="s">
        <v>18</v>
      </c>
      <c r="C38" t="s">
        <v>36</v>
      </c>
      <c r="D38" s="3">
        <f>-5+9</f>
        <v>4</v>
      </c>
      <c r="E38" s="3">
        <f t="shared" si="0"/>
        <v>8</v>
      </c>
      <c r="F38" s="3">
        <v>2</v>
      </c>
    </row>
    <row r="39" spans="1:6" x14ac:dyDescent="0.25">
      <c r="A39" t="s">
        <v>14</v>
      </c>
      <c r="B39" t="s">
        <v>34</v>
      </c>
      <c r="C39" t="s">
        <v>16</v>
      </c>
      <c r="D39" s="3">
        <f>-3-2+4+4</f>
        <v>3</v>
      </c>
      <c r="E39" s="3">
        <f t="shared" si="0"/>
        <v>9</v>
      </c>
      <c r="F39" s="3">
        <v>3</v>
      </c>
    </row>
    <row r="40" spans="1:6" x14ac:dyDescent="0.25">
      <c r="A40" t="s">
        <v>14</v>
      </c>
      <c r="B40" t="s">
        <v>36</v>
      </c>
      <c r="C40" t="s">
        <v>37</v>
      </c>
      <c r="D40" s="3">
        <f>-9+4+4+4</f>
        <v>3</v>
      </c>
      <c r="E40" s="3">
        <f t="shared" si="0"/>
        <v>9</v>
      </c>
      <c r="F40" s="3">
        <v>3</v>
      </c>
    </row>
    <row r="41" spans="1:6" x14ac:dyDescent="0.25">
      <c r="A41" t="s">
        <v>14</v>
      </c>
      <c r="B41" t="s">
        <v>27</v>
      </c>
      <c r="C41" t="s">
        <v>36</v>
      </c>
      <c r="D41" s="3">
        <f>-6+9</f>
        <v>3</v>
      </c>
      <c r="E41" s="3">
        <f t="shared" si="0"/>
        <v>9</v>
      </c>
      <c r="F41" s="3">
        <v>3</v>
      </c>
    </row>
    <row r="42" spans="1:6" x14ac:dyDescent="0.25">
      <c r="A42" t="s">
        <v>14</v>
      </c>
      <c r="B42" t="s">
        <v>13</v>
      </c>
      <c r="C42" t="s">
        <v>27</v>
      </c>
      <c r="D42" s="3">
        <f>-3+6</f>
        <v>3</v>
      </c>
      <c r="E42" s="3">
        <f t="shared" si="0"/>
        <v>9</v>
      </c>
      <c r="F42" s="3">
        <v>3</v>
      </c>
    </row>
    <row r="43" spans="1:6" x14ac:dyDescent="0.25">
      <c r="A43" t="s">
        <v>14</v>
      </c>
      <c r="B43" t="s">
        <v>25</v>
      </c>
      <c r="C43" t="s">
        <v>10</v>
      </c>
      <c r="D43" s="3">
        <f>-2+4</f>
        <v>2</v>
      </c>
      <c r="E43" s="3">
        <f t="shared" si="0"/>
        <v>10</v>
      </c>
      <c r="F43" s="3">
        <v>5</v>
      </c>
    </row>
    <row r="44" spans="1:6" x14ac:dyDescent="0.25">
      <c r="A44" t="s">
        <v>14</v>
      </c>
      <c r="B44" t="s">
        <v>20</v>
      </c>
      <c r="C44" t="s">
        <v>16</v>
      </c>
      <c r="D44" s="3">
        <f>-6+8</f>
        <v>2</v>
      </c>
      <c r="E44" s="3">
        <f t="shared" si="0"/>
        <v>10</v>
      </c>
      <c r="F44" s="3">
        <v>5</v>
      </c>
    </row>
    <row r="45" spans="1:6" x14ac:dyDescent="0.25">
      <c r="A45" t="s">
        <v>14</v>
      </c>
      <c r="B45" t="s">
        <v>10</v>
      </c>
      <c r="C45" t="s">
        <v>20</v>
      </c>
      <c r="D45" s="3">
        <f>-4+6</f>
        <v>2</v>
      </c>
      <c r="E45" s="3">
        <f t="shared" si="0"/>
        <v>10</v>
      </c>
      <c r="F45" s="3">
        <v>5</v>
      </c>
    </row>
    <row r="46" spans="1:6" x14ac:dyDescent="0.25">
      <c r="A46" t="s">
        <v>14</v>
      </c>
      <c r="B46" t="s">
        <v>8</v>
      </c>
      <c r="C46" t="s">
        <v>20</v>
      </c>
      <c r="D46" s="3">
        <f>-4+6</f>
        <v>2</v>
      </c>
      <c r="E46" s="3">
        <f t="shared" si="0"/>
        <v>10</v>
      </c>
      <c r="F46" s="3">
        <v>5</v>
      </c>
    </row>
  </sheetData>
  <sortState ref="A2:F46">
    <sortCondition ref="E2:E46"/>
    <sortCondition ref="D2:D46"/>
    <sortCondition ref="A2:A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/>
  </sheetViews>
  <sheetFormatPr defaultRowHeight="15" x14ac:dyDescent="0.25"/>
  <cols>
    <col min="1" max="1" width="10.5703125" bestFit="1" customWidth="1"/>
    <col min="2" max="3" width="13.42578125" style="3" bestFit="1" customWidth="1"/>
    <col min="4" max="4" width="9.140625" style="3"/>
  </cols>
  <sheetData>
    <row r="1" spans="1:4" x14ac:dyDescent="0.25">
      <c r="A1" s="1" t="s">
        <v>40</v>
      </c>
      <c r="B1" s="2" t="s">
        <v>41</v>
      </c>
      <c r="C1" s="2" t="s">
        <v>48</v>
      </c>
      <c r="D1" s="2" t="s">
        <v>5</v>
      </c>
    </row>
    <row r="2" spans="1:4" x14ac:dyDescent="0.25">
      <c r="A2" t="s">
        <v>65</v>
      </c>
      <c r="B2" s="3">
        <v>6</v>
      </c>
      <c r="C2" s="3">
        <f>2+4</f>
        <v>6</v>
      </c>
      <c r="D2" s="3">
        <f t="shared" ref="D2:D37" si="0">B2-C2</f>
        <v>0</v>
      </c>
    </row>
    <row r="3" spans="1:4" x14ac:dyDescent="0.25">
      <c r="A3" t="s">
        <v>46</v>
      </c>
      <c r="B3" s="3">
        <v>7</v>
      </c>
      <c r="C3" s="3">
        <f>3+4</f>
        <v>7</v>
      </c>
      <c r="D3" s="3">
        <f t="shared" si="0"/>
        <v>0</v>
      </c>
    </row>
    <row r="4" spans="1:4" x14ac:dyDescent="0.25">
      <c r="A4" t="s">
        <v>58</v>
      </c>
      <c r="B4" s="3">
        <v>8</v>
      </c>
      <c r="C4" s="3">
        <f>2*4</f>
        <v>8</v>
      </c>
      <c r="D4" s="3">
        <f t="shared" si="0"/>
        <v>0</v>
      </c>
    </row>
    <row r="5" spans="1:4" x14ac:dyDescent="0.25">
      <c r="A5" t="s">
        <v>54</v>
      </c>
      <c r="B5" s="3">
        <v>8</v>
      </c>
      <c r="C5" s="3">
        <f>2+6</f>
        <v>8</v>
      </c>
      <c r="D5" s="3">
        <f t="shared" si="0"/>
        <v>0</v>
      </c>
    </row>
    <row r="6" spans="1:4" x14ac:dyDescent="0.25">
      <c r="A6" t="s">
        <v>67</v>
      </c>
      <c r="B6" s="3">
        <v>8</v>
      </c>
      <c r="C6" s="3">
        <f>2+6</f>
        <v>8</v>
      </c>
      <c r="D6" s="3">
        <f t="shared" si="0"/>
        <v>0</v>
      </c>
    </row>
    <row r="7" spans="1:4" x14ac:dyDescent="0.25">
      <c r="A7" t="s">
        <v>80</v>
      </c>
      <c r="B7" s="3">
        <v>9</v>
      </c>
      <c r="C7" s="3">
        <f>3+6</f>
        <v>9</v>
      </c>
      <c r="D7" s="3">
        <f t="shared" si="0"/>
        <v>0</v>
      </c>
    </row>
    <row r="8" spans="1:4" x14ac:dyDescent="0.25">
      <c r="A8" t="s">
        <v>47</v>
      </c>
      <c r="B8" s="3">
        <v>10</v>
      </c>
      <c r="C8" s="3">
        <f>4+6</f>
        <v>10</v>
      </c>
      <c r="D8" s="3">
        <f t="shared" si="0"/>
        <v>0</v>
      </c>
    </row>
    <row r="9" spans="1:4" x14ac:dyDescent="0.25">
      <c r="A9" t="s">
        <v>72</v>
      </c>
      <c r="B9" s="3">
        <v>10</v>
      </c>
      <c r="C9" s="3">
        <v>10</v>
      </c>
      <c r="D9" s="3">
        <f t="shared" si="0"/>
        <v>0</v>
      </c>
    </row>
    <row r="10" spans="1:4" x14ac:dyDescent="0.25">
      <c r="A10" t="s">
        <v>63</v>
      </c>
      <c r="B10" s="3">
        <v>10</v>
      </c>
      <c r="C10" s="3">
        <f>2+8</f>
        <v>10</v>
      </c>
      <c r="D10" s="3">
        <f t="shared" si="0"/>
        <v>0</v>
      </c>
    </row>
    <row r="11" spans="1:4" x14ac:dyDescent="0.25">
      <c r="A11" t="s">
        <v>69</v>
      </c>
      <c r="B11" s="3">
        <v>11</v>
      </c>
      <c r="C11" s="3">
        <f>2+9</f>
        <v>11</v>
      </c>
      <c r="D11" s="3">
        <f t="shared" si="0"/>
        <v>0</v>
      </c>
    </row>
    <row r="12" spans="1:4" x14ac:dyDescent="0.25">
      <c r="A12" t="s">
        <v>78</v>
      </c>
      <c r="B12" s="3">
        <v>11</v>
      </c>
      <c r="C12" s="3">
        <f>3+8</f>
        <v>11</v>
      </c>
      <c r="D12" s="3">
        <f t="shared" si="0"/>
        <v>0</v>
      </c>
    </row>
    <row r="13" spans="1:4" x14ac:dyDescent="0.25">
      <c r="A13" t="s">
        <v>42</v>
      </c>
      <c r="B13" s="3">
        <v>12</v>
      </c>
      <c r="C13" s="3">
        <v>12</v>
      </c>
      <c r="D13" s="3">
        <f t="shared" si="0"/>
        <v>0</v>
      </c>
    </row>
    <row r="14" spans="1:4" x14ac:dyDescent="0.25">
      <c r="A14" t="s">
        <v>61</v>
      </c>
      <c r="B14" s="3">
        <v>12</v>
      </c>
      <c r="C14" s="3">
        <f>4+8</f>
        <v>12</v>
      </c>
      <c r="D14" s="3">
        <f t="shared" si="0"/>
        <v>0</v>
      </c>
    </row>
    <row r="15" spans="1:4" x14ac:dyDescent="0.25">
      <c r="A15" t="s">
        <v>44</v>
      </c>
      <c r="B15" s="3">
        <v>12</v>
      </c>
      <c r="C15" s="3">
        <f>6+6</f>
        <v>12</v>
      </c>
      <c r="D15" s="3">
        <f t="shared" si="0"/>
        <v>0</v>
      </c>
    </row>
    <row r="16" spans="1:4" x14ac:dyDescent="0.25">
      <c r="A16" t="s">
        <v>59</v>
      </c>
      <c r="B16" s="3">
        <v>13</v>
      </c>
      <c r="C16" s="3">
        <f>4+9</f>
        <v>13</v>
      </c>
      <c r="D16" s="3">
        <f t="shared" si="0"/>
        <v>0</v>
      </c>
    </row>
    <row r="17" spans="1:4" x14ac:dyDescent="0.25">
      <c r="A17" t="s">
        <v>64</v>
      </c>
      <c r="B17" s="3">
        <v>14</v>
      </c>
      <c r="C17" s="3">
        <f>6+8</f>
        <v>14</v>
      </c>
      <c r="D17" s="3">
        <f t="shared" si="0"/>
        <v>0</v>
      </c>
    </row>
    <row r="18" spans="1:4" x14ac:dyDescent="0.25">
      <c r="A18" t="s">
        <v>60</v>
      </c>
      <c r="B18" s="3">
        <v>14</v>
      </c>
      <c r="C18" s="3">
        <f>6+8</f>
        <v>14</v>
      </c>
      <c r="D18" s="3">
        <f t="shared" si="0"/>
        <v>0</v>
      </c>
    </row>
    <row r="19" spans="1:4" x14ac:dyDescent="0.25">
      <c r="A19" t="s">
        <v>70</v>
      </c>
      <c r="B19" s="3">
        <v>14</v>
      </c>
      <c r="C19" s="3">
        <f>2+12</f>
        <v>14</v>
      </c>
      <c r="D19" s="3">
        <f t="shared" si="0"/>
        <v>0</v>
      </c>
    </row>
    <row r="20" spans="1:4" x14ac:dyDescent="0.25">
      <c r="A20" t="s">
        <v>50</v>
      </c>
      <c r="B20" s="3">
        <v>15</v>
      </c>
      <c r="C20" s="3">
        <f>3+12</f>
        <v>15</v>
      </c>
      <c r="D20" s="3">
        <f t="shared" si="0"/>
        <v>0</v>
      </c>
    </row>
    <row r="21" spans="1:4" x14ac:dyDescent="0.25">
      <c r="A21" t="s">
        <v>79</v>
      </c>
      <c r="B21" s="3">
        <v>16</v>
      </c>
      <c r="C21" s="3">
        <f>4+12</f>
        <v>16</v>
      </c>
      <c r="D21" s="3">
        <f t="shared" si="0"/>
        <v>0</v>
      </c>
    </row>
    <row r="22" spans="1:4" x14ac:dyDescent="0.25">
      <c r="A22" t="s">
        <v>52</v>
      </c>
      <c r="B22" s="3">
        <v>16</v>
      </c>
      <c r="C22" s="3">
        <f>4+12</f>
        <v>16</v>
      </c>
      <c r="D22" s="3">
        <f t="shared" si="0"/>
        <v>0</v>
      </c>
    </row>
    <row r="23" spans="1:4" x14ac:dyDescent="0.25">
      <c r="A23" t="s">
        <v>71</v>
      </c>
      <c r="B23" s="3">
        <v>17</v>
      </c>
      <c r="C23" s="3">
        <f>9+8</f>
        <v>17</v>
      </c>
      <c r="D23" s="3">
        <f t="shared" si="0"/>
        <v>0</v>
      </c>
    </row>
    <row r="24" spans="1:4" x14ac:dyDescent="0.25">
      <c r="A24" t="s">
        <v>53</v>
      </c>
      <c r="B24" s="3">
        <v>18</v>
      </c>
      <c r="C24" s="3">
        <f>6+12</f>
        <v>18</v>
      </c>
      <c r="D24" s="3">
        <f t="shared" si="0"/>
        <v>0</v>
      </c>
    </row>
    <row r="25" spans="1:4" x14ac:dyDescent="0.25">
      <c r="A25" t="s">
        <v>43</v>
      </c>
      <c r="B25" s="3">
        <v>20</v>
      </c>
      <c r="C25" s="3">
        <f>5*4</f>
        <v>20</v>
      </c>
      <c r="D25" s="3">
        <f t="shared" si="0"/>
        <v>0</v>
      </c>
    </row>
    <row r="26" spans="1:4" x14ac:dyDescent="0.25">
      <c r="A26" t="s">
        <v>57</v>
      </c>
      <c r="B26" s="3">
        <v>9</v>
      </c>
      <c r="C26" s="3">
        <f>2+2+4</f>
        <v>8</v>
      </c>
      <c r="D26" s="3">
        <f t="shared" si="0"/>
        <v>1</v>
      </c>
    </row>
    <row r="27" spans="1:4" x14ac:dyDescent="0.25">
      <c r="A27" t="s">
        <v>55</v>
      </c>
      <c r="B27" s="3">
        <v>12</v>
      </c>
      <c r="C27" s="3">
        <f>4+3+4</f>
        <v>11</v>
      </c>
      <c r="D27" s="3">
        <f t="shared" si="0"/>
        <v>1</v>
      </c>
    </row>
    <row r="28" spans="1:4" x14ac:dyDescent="0.25">
      <c r="A28" t="s">
        <v>73</v>
      </c>
      <c r="B28" s="3">
        <v>12</v>
      </c>
      <c r="C28" s="3">
        <f>1+6+4</f>
        <v>11</v>
      </c>
      <c r="D28" s="3">
        <f t="shared" si="0"/>
        <v>1</v>
      </c>
    </row>
    <row r="29" spans="1:4" x14ac:dyDescent="0.25">
      <c r="A29" t="s">
        <v>51</v>
      </c>
      <c r="B29" s="3">
        <v>13</v>
      </c>
      <c r="C29" s="3">
        <f>2+4+6</f>
        <v>12</v>
      </c>
      <c r="D29" s="3">
        <f t="shared" si="0"/>
        <v>1</v>
      </c>
    </row>
    <row r="30" spans="1:4" x14ac:dyDescent="0.25">
      <c r="A30" t="s">
        <v>62</v>
      </c>
      <c r="B30" s="3">
        <v>15</v>
      </c>
      <c r="C30" s="3">
        <f>2+4+8</f>
        <v>14</v>
      </c>
      <c r="D30" s="3">
        <f t="shared" si="0"/>
        <v>1</v>
      </c>
    </row>
    <row r="31" spans="1:4" x14ac:dyDescent="0.25">
      <c r="A31" t="s">
        <v>74</v>
      </c>
      <c r="B31" s="3">
        <v>17</v>
      </c>
      <c r="C31" s="3">
        <f>2+6+8</f>
        <v>16</v>
      </c>
      <c r="D31" s="3">
        <f t="shared" si="0"/>
        <v>1</v>
      </c>
    </row>
    <row r="32" spans="1:4" x14ac:dyDescent="0.25">
      <c r="A32" t="s">
        <v>68</v>
      </c>
      <c r="B32" s="3">
        <v>19</v>
      </c>
      <c r="C32" s="3">
        <f>4+6+8</f>
        <v>18</v>
      </c>
      <c r="D32" s="3">
        <f t="shared" si="0"/>
        <v>1</v>
      </c>
    </row>
    <row r="33" spans="1:4" x14ac:dyDescent="0.25">
      <c r="A33" t="s">
        <v>66</v>
      </c>
      <c r="B33" s="3">
        <v>12</v>
      </c>
      <c r="C33" s="3">
        <f>1+2+3+4</f>
        <v>10</v>
      </c>
      <c r="D33" s="3">
        <f t="shared" si="0"/>
        <v>2</v>
      </c>
    </row>
    <row r="34" spans="1:4" x14ac:dyDescent="0.25">
      <c r="A34" t="s">
        <v>56</v>
      </c>
      <c r="B34" s="3">
        <v>14</v>
      </c>
      <c r="C34" s="3">
        <f>3+2+3+4</f>
        <v>12</v>
      </c>
      <c r="D34" s="3">
        <f t="shared" si="0"/>
        <v>2</v>
      </c>
    </row>
    <row r="35" spans="1:4" x14ac:dyDescent="0.25">
      <c r="A35" t="s">
        <v>45</v>
      </c>
      <c r="B35" s="3">
        <v>16</v>
      </c>
      <c r="C35" s="3">
        <f>1+6+3+4</f>
        <v>14</v>
      </c>
      <c r="D35" s="3">
        <f t="shared" si="0"/>
        <v>2</v>
      </c>
    </row>
    <row r="36" spans="1:4" x14ac:dyDescent="0.25">
      <c r="A36" t="s">
        <v>75</v>
      </c>
      <c r="B36" s="3">
        <v>18</v>
      </c>
      <c r="C36" s="3">
        <f>1+2+9+4</f>
        <v>16</v>
      </c>
      <c r="D36" s="3">
        <f t="shared" si="0"/>
        <v>2</v>
      </c>
    </row>
    <row r="37" spans="1:4" x14ac:dyDescent="0.25">
      <c r="A37" t="s">
        <v>49</v>
      </c>
      <c r="B37" s="3">
        <v>20</v>
      </c>
      <c r="C37" s="3">
        <f>1+2+3+12</f>
        <v>18</v>
      </c>
      <c r="D37" s="3">
        <f t="shared" si="0"/>
        <v>2</v>
      </c>
    </row>
  </sheetData>
  <sortState ref="A2:D37">
    <sortCondition ref="D2:D37"/>
    <sortCondition ref="B2:B3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Merchant cards</vt:lpstr>
      <vt:lpstr>Point cards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guillaume.bernier</dc:creator>
  <cp:lastModifiedBy>guillaume.bernier</cp:lastModifiedBy>
  <dcterms:created xsi:type="dcterms:W3CDTF">2017-12-04T05:15:49Z</dcterms:created>
  <dcterms:modified xsi:type="dcterms:W3CDTF">2018-01-04T03:00:29Z</dcterms:modified>
</cp:coreProperties>
</file>